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  <sheet state="visible" name="Dashboard" sheetId="2" r:id="rId5"/>
  </sheets>
  <definedNames>
    <definedName localSheetId="0" name="ExternalData_1">Data!$A$1:$D$41</definedName>
  </definedNames>
  <calcPr/>
  <extLst>
    <ext uri="GoogleSheetsCustomDataVersion2">
      <go:sheetsCustomData xmlns:go="http://customooxmlschemas.google.com/" r:id="rId6" roundtripDataChecksum="PAjL5FM8pyIeWXZexW0pSwamDHiP0vhNs/JY0lIZHc8="/>
    </ext>
  </extLst>
</workbook>
</file>

<file path=xl/sharedStrings.xml><?xml version="1.0" encoding="utf-8"?>
<sst xmlns="http://schemas.openxmlformats.org/spreadsheetml/2006/main" count="63" uniqueCount="56">
  <si>
    <t>Campaign_ID</t>
  </si>
  <si>
    <t>Total_Revenue</t>
  </si>
  <si>
    <t>Total_Spend</t>
  </si>
  <si>
    <t>ROI</t>
  </si>
  <si>
    <t>C039</t>
  </si>
  <si>
    <t>C037</t>
  </si>
  <si>
    <t>C040</t>
  </si>
  <si>
    <t>C038</t>
  </si>
  <si>
    <t>C036</t>
  </si>
  <si>
    <t>C033</t>
  </si>
  <si>
    <t>C035</t>
  </si>
  <si>
    <t>C034</t>
  </si>
  <si>
    <t>C017</t>
  </si>
  <si>
    <t>C020</t>
  </si>
  <si>
    <t>C021</t>
  </si>
  <si>
    <t>C022</t>
  </si>
  <si>
    <t>C023</t>
  </si>
  <si>
    <t>C018</t>
  </si>
  <si>
    <t>C024</t>
  </si>
  <si>
    <t>C019</t>
  </si>
  <si>
    <t>C026</t>
  </si>
  <si>
    <t>C027</t>
  </si>
  <si>
    <t>C005</t>
  </si>
  <si>
    <t>C002</t>
  </si>
  <si>
    <t>C007</t>
  </si>
  <si>
    <t>C029</t>
  </si>
  <si>
    <t>C003</t>
  </si>
  <si>
    <t>C032</t>
  </si>
  <si>
    <t>C031</t>
  </si>
  <si>
    <t>C006</t>
  </si>
  <si>
    <t>C008</t>
  </si>
  <si>
    <t>C001</t>
  </si>
  <si>
    <t>C025</t>
  </si>
  <si>
    <t>C004</t>
  </si>
  <si>
    <t>C028</t>
  </si>
  <si>
    <t>C030</t>
  </si>
  <si>
    <t>C013</t>
  </si>
  <si>
    <t>C009</t>
  </si>
  <si>
    <t>C015</t>
  </si>
  <si>
    <t>C012</t>
  </si>
  <si>
    <t>C016</t>
  </si>
  <si>
    <t>C011</t>
  </si>
  <si>
    <t>C010</t>
  </si>
  <si>
    <t>C014</t>
  </si>
  <si>
    <r>
      <rPr>
        <rFont val="Calibri"/>
        <b/>
        <color rgb="FF002567"/>
        <sz val="48.0"/>
      </rPr>
      <t xml:space="preserve">Marketing Campaign Performance Dashboard </t>
    </r>
    <r>
      <rPr>
        <rFont val="Calibri"/>
        <b/>
        <color theme="1"/>
        <sz val="48.0"/>
      </rPr>
      <t xml:space="preserve">
</t>
    </r>
    <r>
      <rPr>
        <rFont val="Calibri"/>
        <b val="0"/>
        <i/>
        <color theme="1"/>
        <sz val="26.0"/>
      </rPr>
      <t>-</t>
    </r>
    <r>
      <rPr>
        <rFont val="Calibri"/>
        <b val="0"/>
        <i/>
        <color rgb="FF002252"/>
        <sz val="26.0"/>
      </rPr>
      <t>This project demonstrates how raw marketing data can be transformed into actionable insights using a Python ETL pipeline, campaign attribution analysis, and business dashboards</t>
    </r>
    <r>
      <rPr>
        <rFont val="Calibri"/>
        <b val="0"/>
        <i/>
        <color theme="1"/>
        <sz val="26.0"/>
      </rPr>
      <t>.</t>
    </r>
  </si>
  <si>
    <t xml:space="preserve">Total Revenue   </t>
  </si>
  <si>
    <t xml:space="preserve">Total Ad Spend   </t>
  </si>
  <si>
    <t xml:space="preserve">Avg ROI   </t>
  </si>
  <si>
    <t>Best Campaign</t>
  </si>
  <si>
    <t>$110.12M</t>
  </si>
  <si>
    <t>$74.46M</t>
  </si>
  <si>
    <t>4.52x</t>
  </si>
  <si>
    <t xml:space="preserve"> ROI Chart</t>
  </si>
  <si>
    <t>Revenue Chart</t>
  </si>
  <si>
    <t>Top 5 Campaigns by ROI</t>
  </si>
  <si>
    <t>Campaign_id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</si>
</sst>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sz val="11.0"/>
      <color rgb="FFFFFFFF"/>
      <name val="Calibri"/>
    </font>
    <font>
      <sz val="11.0"/>
      <color theme="1"/>
      <name val="Calibri"/>
    </font>
    <font>
      <b/>
      <sz val="48.0"/>
      <color theme="1"/>
      <name val="Calibri"/>
    </font>
    <font/>
    <font>
      <b/>
      <sz val="36.0"/>
      <color theme="1"/>
      <name val="Calibri"/>
    </font>
    <font>
      <sz val="36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D6DCE4"/>
        <bgColor rgb="FFD6DCE4"/>
      </patternFill>
    </fill>
    <fill>
      <patternFill patternType="solid">
        <fgColor rgb="FFB4C6E7"/>
        <bgColor rgb="FFB4C6E7"/>
      </patternFill>
    </fill>
    <fill>
      <patternFill patternType="solid">
        <fgColor rgb="FFF2F2F2"/>
        <bgColor rgb="FFF2F2F2"/>
      </patternFill>
    </fill>
    <fill>
      <patternFill patternType="solid">
        <fgColor rgb="FF70AD47"/>
        <bgColor rgb="FF70AD47"/>
      </patternFill>
    </fill>
    <fill>
      <patternFill patternType="solid">
        <fgColor rgb="FFE2EFDA"/>
        <bgColor rgb="FFE2EFDA"/>
      </patternFill>
    </fill>
  </fills>
  <borders count="16">
    <border/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center" vertical="center"/>
    </xf>
    <xf borderId="3" fillId="0" fontId="1" numFmtId="0" xfId="0" applyAlignment="1" applyBorder="1" applyFont="1">
      <alignment horizontal="center" vertical="center"/>
    </xf>
    <xf borderId="4" fillId="0" fontId="2" numFmtId="0" xfId="0" applyAlignment="1" applyBorder="1" applyFont="1">
      <alignment horizontal="center" vertical="center"/>
    </xf>
    <xf borderId="5" fillId="0" fontId="2" numFmtId="0" xfId="0" applyAlignment="1" applyBorder="1" applyFont="1">
      <alignment horizontal="center" vertical="center"/>
    </xf>
    <xf borderId="6" fillId="0" fontId="2" numFmtId="0" xfId="0" applyAlignment="1" applyBorder="1" applyFont="1">
      <alignment horizontal="center" vertical="center"/>
    </xf>
    <xf borderId="7" fillId="0" fontId="1" numFmtId="0" xfId="0" applyAlignment="1" applyBorder="1" applyFont="1">
      <alignment horizontal="center" vertical="center"/>
    </xf>
    <xf borderId="8" fillId="0" fontId="1" numFmtId="0" xfId="0" applyAlignment="1" applyBorder="1" applyFont="1">
      <alignment horizontal="center" vertical="center"/>
    </xf>
    <xf borderId="9" fillId="0" fontId="1" numFmtId="0" xfId="0" applyAlignment="1" applyBorder="1" applyFont="1">
      <alignment horizontal="center" vertical="center"/>
    </xf>
    <xf borderId="10" fillId="2" fontId="3" numFmtId="0" xfId="0" applyAlignment="1" applyBorder="1" applyFill="1" applyFont="1">
      <alignment horizontal="center" shrinkToFit="0" wrapText="1"/>
    </xf>
    <xf borderId="11" fillId="0" fontId="4" numFmtId="0" xfId="0" applyBorder="1" applyFont="1"/>
    <xf borderId="12" fillId="0" fontId="4" numFmtId="0" xfId="0" applyBorder="1" applyFont="1"/>
    <xf borderId="13" fillId="3" fontId="5" numFmtId="0" xfId="0" applyAlignment="1" applyBorder="1" applyFill="1" applyFont="1">
      <alignment horizontal="center" vertical="center"/>
    </xf>
    <xf borderId="14" fillId="0" fontId="5" numFmtId="0" xfId="0" applyAlignment="1" applyBorder="1" applyFont="1">
      <alignment horizontal="center" vertical="center"/>
    </xf>
    <xf borderId="15" fillId="0" fontId="5" numFmtId="0" xfId="0" applyAlignment="1" applyBorder="1" applyFont="1">
      <alignment horizontal="center" vertical="center"/>
    </xf>
    <xf borderId="10" fillId="3" fontId="5" numFmtId="0" xfId="0" applyAlignment="1" applyBorder="1" applyFont="1">
      <alignment horizontal="center" vertical="center"/>
    </xf>
    <xf borderId="10" fillId="4" fontId="5" numFmtId="0" xfId="0" applyAlignment="1" applyBorder="1" applyFill="1" applyFont="1">
      <alignment horizontal="center"/>
    </xf>
    <xf borderId="10" fillId="2" fontId="5" numFmtId="0" xfId="0" applyAlignment="1" applyBorder="1" applyFont="1">
      <alignment horizontal="center"/>
    </xf>
    <xf borderId="5" fillId="5" fontId="5" numFmtId="0" xfId="0" applyAlignment="1" applyBorder="1" applyFill="1" applyFont="1">
      <alignment horizontal="center" vertical="center"/>
    </xf>
    <xf borderId="5" fillId="6" fontId="6" numFmtId="0" xfId="0" applyAlignment="1" applyBorder="1" applyFill="1" applyFont="1">
      <alignment horizontal="center" vertical="center"/>
    </xf>
    <xf borderId="5" fillId="0" fontId="6" numFmtId="0" xfId="0" applyAlignment="1" applyBorder="1" applyFont="1">
      <alignment horizontal="center" vertic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9"/>
          <bgColor theme="9"/>
        </patternFill>
      </fill>
      <border/>
    </dxf>
    <dxf>
      <font/>
      <fill>
        <patternFill patternType="solid">
          <fgColor rgb="FFE2EFD9"/>
          <bgColor rgb="FFE2EFD9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1">
    <tableStyle count="4" pivot="0" name="Data-style">
      <tableStyleElement dxfId="1" type="headerRow"/>
      <tableStyleElement dxfId="2" type="firstRowStripe"/>
      <tableStyleElement dxfId="3" type="secondRowStripe"/>
      <tableStyleElement dxfId="3" type="totalRow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5400">
                <a:solidFill>
                  <a:schemeClr val="lt1"/>
                </a:solidFill>
                <a:latin typeface="+mn-lt"/>
              </a:defRPr>
            </a:pPr>
            <a:r>
              <a:rPr b="1" i="0" sz="5400">
                <a:solidFill>
                  <a:schemeClr val="lt1"/>
                </a:solidFill>
                <a:latin typeface="+mn-lt"/>
              </a:rPr>
              <a:t>Campaign Return on Investment (ROI)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ROI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Data!$A$2:$A$41</c:f>
            </c:strRef>
          </c:cat>
          <c:val>
            <c:numRef>
              <c:f>Data!$D$2:$D$41</c:f>
              <c:numCache/>
            </c:numRef>
          </c:val>
        </c:ser>
        <c:axId val="130112624"/>
        <c:axId val="890331802"/>
      </c:barChart>
      <c:catAx>
        <c:axId val="1301126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3200">
                    <a:solidFill>
                      <a:schemeClr val="lt1"/>
                    </a:solidFill>
                    <a:latin typeface="+mn-lt"/>
                  </a:defRPr>
                </a:pPr>
                <a:r>
                  <a:rPr b="1" i="0" sz="3200">
                    <a:solidFill>
                      <a:schemeClr val="lt1"/>
                    </a:solidFill>
                    <a:latin typeface="+mn-lt"/>
                  </a:rPr>
                  <a:t>ROI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2000">
                <a:solidFill>
                  <a:schemeClr val="lt1"/>
                </a:solidFill>
                <a:latin typeface="+mn-lt"/>
              </a:defRPr>
            </a:pPr>
          </a:p>
        </c:txPr>
        <c:crossAx val="890331802"/>
      </c:catAx>
      <c:valAx>
        <c:axId val="89033180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3200">
                    <a:solidFill>
                      <a:schemeClr val="lt1"/>
                    </a:solidFill>
                    <a:latin typeface="+mn-lt"/>
                  </a:defRPr>
                </a:pPr>
                <a:r>
                  <a:rPr b="1" i="0" sz="3200">
                    <a:solidFill>
                      <a:schemeClr val="lt1"/>
                    </a:solidFill>
                    <a:latin typeface="+mn-lt"/>
                  </a:rPr>
                  <a:t>campaign id</a:t>
                </a:r>
              </a:p>
            </c:rich>
          </c:tx>
          <c:layout>
            <c:manualLayout>
              <c:xMode val="edge"/>
              <c:yMode val="edge"/>
              <c:x val="0.010857763300760043"/>
              <c:y val="0.39749529231283764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2000">
                <a:solidFill>
                  <a:schemeClr val="lt1"/>
                </a:solidFill>
                <a:latin typeface="+mn-lt"/>
              </a:defRPr>
            </a:pPr>
          </a:p>
        </c:txPr>
        <c:crossAx val="130112624"/>
      </c:valAx>
    </c:plotArea>
    <c:legend>
      <c:legendPos val="r"/>
      <c:layout>
        <c:manualLayout>
          <c:xMode val="edge"/>
          <c:yMode val="edge"/>
          <c:x val="0.7814377279095537"/>
          <c:y val="0.4178969470921398"/>
        </c:manualLayout>
      </c:layout>
      <c:overlay val="0"/>
      <c:txPr>
        <a:bodyPr/>
        <a:lstStyle/>
        <a:p>
          <a:pPr lvl="0">
            <a:defRPr b="0" i="0" sz="2400">
              <a:solidFill>
                <a:schemeClr val="lt1"/>
              </a:solidFill>
              <a:latin typeface="+mn-lt"/>
            </a:defRPr>
          </a:pPr>
        </a:p>
      </c:txPr>
    </c:legend>
    <c:plotVisOnly val="1"/>
  </c:chart>
  <c:spPr>
    <a:solidFill>
      <a:schemeClr val="dk1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5400">
                <a:solidFill>
                  <a:schemeClr val="lt1"/>
                </a:solidFill>
                <a:latin typeface="+mn-lt"/>
              </a:defRPr>
            </a:pPr>
            <a:r>
              <a:rPr b="1" i="0" sz="5400">
                <a:solidFill>
                  <a:schemeClr val="lt1"/>
                </a:solidFill>
                <a:latin typeface="+mn-lt"/>
              </a:rPr>
              <a:t>Top Performing Campaigns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v>ROI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2000">
                    <a:solidFill>
                      <a:srgbClr val="FFFFFF"/>
                    </a:solidFill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Dashboard!$C$126:$C$130</c:f>
            </c:strRef>
          </c:cat>
          <c:val>
            <c:numRef>
              <c:f>Dashboard!$D$126:$D$130</c:f>
              <c:numCache/>
            </c:numRef>
          </c:val>
        </c:ser>
        <c:axId val="630166814"/>
        <c:axId val="1923726547"/>
      </c:barChart>
      <c:catAx>
        <c:axId val="630166814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1" i="0" sz="3200">
                    <a:solidFill>
                      <a:schemeClr val="lt1"/>
                    </a:solidFill>
                    <a:latin typeface="+mn-lt"/>
                  </a:defRPr>
                </a:pPr>
                <a:r>
                  <a:rPr b="1" i="0" sz="3200">
                    <a:solidFill>
                      <a:schemeClr val="lt1"/>
                    </a:solidFill>
                    <a:latin typeface="+mn-lt"/>
                  </a:rPr>
                  <a:t>campaign id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2000">
                <a:solidFill>
                  <a:schemeClr val="lt1"/>
                </a:solidFill>
                <a:latin typeface="+mn-lt"/>
              </a:defRPr>
            </a:pPr>
          </a:p>
        </c:txPr>
        <c:crossAx val="1923726547"/>
      </c:catAx>
      <c:valAx>
        <c:axId val="192372654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3200">
                    <a:solidFill>
                      <a:schemeClr val="lt1"/>
                    </a:solidFill>
                    <a:latin typeface="+mn-lt"/>
                  </a:defRPr>
                </a:pPr>
                <a:r>
                  <a:rPr b="1" i="0" sz="3200">
                    <a:solidFill>
                      <a:schemeClr val="lt1"/>
                    </a:solidFill>
                    <a:latin typeface="+mn-lt"/>
                  </a:rPr>
                  <a:t>ROI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1" i="0" sz="2000">
                <a:solidFill>
                  <a:schemeClr val="lt1"/>
                </a:solidFill>
                <a:latin typeface="+mn-lt"/>
              </a:defRPr>
            </a:pPr>
          </a:p>
        </c:txPr>
        <c:crossAx val="630166814"/>
        <c:crosses val="max"/>
      </c:valAx>
    </c:plotArea>
    <c:legend>
      <c:legendPos val="r"/>
      <c:layout>
        <c:manualLayout>
          <c:xMode val="edge"/>
          <c:yMode val="edge"/>
          <c:x val="0.8675720829859599"/>
          <c:y val="0.5525772458649973"/>
        </c:manualLayout>
      </c:layout>
      <c:overlay val="0"/>
      <c:txPr>
        <a:bodyPr/>
        <a:lstStyle/>
        <a:p>
          <a:pPr lvl="0">
            <a:defRPr b="0" i="0" sz="2000">
              <a:solidFill>
                <a:schemeClr val="lt1"/>
              </a:solidFill>
              <a:latin typeface="+mn-lt"/>
            </a:defRPr>
          </a:pPr>
        </a:p>
      </c:txPr>
    </c:legend>
    <c:plotVisOnly val="1"/>
  </c:chart>
  <c:spPr>
    <a:solidFill>
      <a:schemeClr val="dk1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5400">
                <a:solidFill>
                  <a:schemeClr val="lt1"/>
                </a:solidFill>
                <a:latin typeface="+mn-lt"/>
              </a:defRPr>
            </a:pPr>
            <a:r>
              <a:rPr b="1" i="0" sz="5400">
                <a:solidFill>
                  <a:schemeClr val="lt1"/>
                </a:solidFill>
                <a:latin typeface="+mn-lt"/>
              </a:rPr>
              <a:t>Campaign Revenue vs Advertising Spend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Total_Revenue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Data!$A$2:$A$41</c:f>
            </c:strRef>
          </c:cat>
          <c:val>
            <c:numRef>
              <c:f>Data!$B$2:$B$41</c:f>
              <c:numCache/>
            </c:numRef>
          </c:val>
        </c:ser>
        <c:ser>
          <c:idx val="1"/>
          <c:order val="1"/>
          <c:tx>
            <c:v>Total_Spend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Data!$A$2:$A$41</c:f>
            </c:strRef>
          </c:cat>
          <c:val>
            <c:numRef>
              <c:f>Data!$C$2:$C$41</c:f>
              <c:numCache/>
            </c:numRef>
          </c:val>
        </c:ser>
        <c:axId val="1490881713"/>
        <c:axId val="1136791878"/>
      </c:barChart>
      <c:catAx>
        <c:axId val="149088171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3200">
                    <a:solidFill>
                      <a:schemeClr val="lt1"/>
                    </a:solidFill>
                    <a:latin typeface="+mn-lt"/>
                  </a:defRPr>
                </a:pPr>
                <a:r>
                  <a:rPr b="1" i="0" sz="3200">
                    <a:solidFill>
                      <a:schemeClr val="lt1"/>
                    </a:solidFill>
                    <a:latin typeface="+mn-lt"/>
                  </a:rPr>
                  <a:t>Revenue / Spend ($) </a:t>
                </a:r>
              </a:p>
            </c:rich>
          </c:tx>
          <c:layout>
            <c:manualLayout>
              <c:xMode val="edge"/>
              <c:yMode val="edge"/>
              <c:x val="0.3972128305645104"/>
              <c:y val="0.8741855295930238"/>
            </c:manualLayout>
          </c:layout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 i="0" sz="1800">
                <a:solidFill>
                  <a:schemeClr val="lt1"/>
                </a:solidFill>
                <a:latin typeface="+mn-lt"/>
              </a:defRPr>
            </a:pPr>
          </a:p>
        </c:txPr>
        <c:crossAx val="1136791878"/>
      </c:catAx>
      <c:valAx>
        <c:axId val="113679187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3200">
                    <a:solidFill>
                      <a:schemeClr val="lt1"/>
                    </a:solidFill>
                    <a:latin typeface="+mn-lt"/>
                  </a:defRPr>
                </a:pPr>
                <a:r>
                  <a:rPr b="1" i="0" sz="3200">
                    <a:solidFill>
                      <a:schemeClr val="lt1"/>
                    </a:solidFill>
                    <a:latin typeface="+mn-lt"/>
                  </a:rPr>
                  <a:t>Campaign ID</a:t>
                </a:r>
              </a:p>
            </c:rich>
          </c:tx>
          <c:layout>
            <c:manualLayout>
              <c:xMode val="edge"/>
              <c:yMode val="edge"/>
              <c:x val="0.0031700744967506737"/>
              <c:y val="0.361400635446885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 i="0" sz="2000">
                <a:solidFill>
                  <a:schemeClr val="lt1"/>
                </a:solidFill>
                <a:latin typeface="+mn-lt"/>
              </a:defRPr>
            </a:pPr>
          </a:p>
        </c:txPr>
        <c:crossAx val="1490881713"/>
      </c:valAx>
    </c:plotArea>
    <c:legend>
      <c:legendPos val="b"/>
      <c:overlay val="0"/>
      <c:txPr>
        <a:bodyPr/>
        <a:lstStyle/>
        <a:p>
          <a:pPr lvl="0">
            <a:defRPr b="0" i="0" sz="2000">
              <a:solidFill>
                <a:schemeClr val="lt1"/>
              </a:solidFill>
              <a:latin typeface="+mn-lt"/>
            </a:defRPr>
          </a:pPr>
        </a:p>
      </c:txPr>
    </c:legend>
    <c:plotVisOnly val="1"/>
  </c:chart>
  <c:spPr>
    <a:solidFill>
      <a:schemeClr val="dk1"/>
    </a:solidFill>
  </c:spPr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590550</xdr:colOff>
      <xdr:row>12</xdr:row>
      <xdr:rowOff>76200</xdr:rowOff>
    </xdr:from>
    <xdr:ext cx="15735300" cy="6877050"/>
    <xdr:graphicFrame>
      <xdr:nvGraphicFramePr>
        <xdr:cNvPr id="1881843733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</xdr:col>
      <xdr:colOff>38100</xdr:colOff>
      <xdr:row>131</xdr:row>
      <xdr:rowOff>123825</xdr:rowOff>
    </xdr:from>
    <xdr:ext cx="15668625" cy="6429375"/>
    <xdr:graphicFrame>
      <xdr:nvGraphicFramePr>
        <xdr:cNvPr id="132609208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</xdr:col>
      <xdr:colOff>38100</xdr:colOff>
      <xdr:row>55</xdr:row>
      <xdr:rowOff>66675</xdr:rowOff>
    </xdr:from>
    <xdr:ext cx="15782925" cy="7172325"/>
    <xdr:graphicFrame>
      <xdr:nvGraphicFramePr>
        <xdr:cNvPr id="419413435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</xdr:col>
      <xdr:colOff>0</xdr:colOff>
      <xdr:row>92</xdr:row>
      <xdr:rowOff>114300</xdr:rowOff>
    </xdr:from>
    <xdr:ext cx="15754350" cy="4048125"/>
    <xdr:sp>
      <xdr:nvSpPr>
        <xdr:cNvPr id="3" name="Shape 3"/>
        <xdr:cNvSpPr/>
      </xdr:nvSpPr>
      <xdr:spPr>
        <a:xfrm>
          <a:off x="0" y="1760700"/>
          <a:ext cx="10692000" cy="4038600"/>
        </a:xfrm>
        <a:prstGeom prst="rect">
          <a:avLst/>
        </a:prstGeom>
        <a:solidFill>
          <a:srgbClr val="D5DBE5"/>
        </a:solidFill>
        <a:ln cap="flat" cmpd="sng" w="9525">
          <a:solidFill>
            <a:schemeClr val="accent5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3600">
              <a:solidFill>
                <a:srgbClr val="002060"/>
              </a:solidFill>
              <a:latin typeface="Calibri"/>
              <a:ea typeface="Calibri"/>
              <a:cs typeface="Calibri"/>
              <a:sym typeface="Calibri"/>
            </a:rPr>
            <a:t>Key Insights:</a:t>
          </a:r>
          <a:endParaRPr sz="1400"/>
        </a:p>
        <a:p>
          <a:pPr indent="0" lvl="0" marL="0" rtl="0" algn="l">
            <a:lnSpc>
              <a:spcPct val="115000"/>
            </a:lnSpc>
            <a:spcBef>
              <a:spcPts val="0"/>
            </a:spcBef>
            <a:spcAft>
              <a:spcPts val="0"/>
            </a:spcAft>
            <a:buClr>
              <a:srgbClr val="002060"/>
            </a:buClr>
            <a:buSzPts val="3600"/>
            <a:buFont typeface="Calibri"/>
            <a:buNone/>
          </a:pPr>
          <a:r>
            <a:rPr b="1" lang="en-US" sz="3600">
              <a:solidFill>
                <a:srgbClr val="002060"/>
              </a:solidFill>
              <a:latin typeface="Calibri"/>
              <a:ea typeface="Calibri"/>
              <a:cs typeface="Calibri"/>
              <a:sym typeface="Calibri"/>
            </a:rPr>
            <a:t>• Campaign C039 delivers the highest ROI (~15x)</a:t>
          </a:r>
          <a:endParaRPr sz="1400"/>
        </a:p>
        <a:p>
          <a:pPr indent="0" lvl="0" marL="0" rtl="0" algn="l">
            <a:lnSpc>
              <a:spcPct val="115000"/>
            </a:lnSpc>
            <a:spcBef>
              <a:spcPts val="800"/>
            </a:spcBef>
            <a:spcAft>
              <a:spcPts val="0"/>
            </a:spcAft>
            <a:buClr>
              <a:srgbClr val="002060"/>
            </a:buClr>
            <a:buSzPts val="3600"/>
            <a:buFont typeface="Calibri"/>
            <a:buNone/>
          </a:pPr>
          <a:r>
            <a:rPr b="1" lang="en-US" sz="3600">
              <a:solidFill>
                <a:srgbClr val="002060"/>
              </a:solidFill>
              <a:latin typeface="Calibri"/>
              <a:ea typeface="Calibri"/>
              <a:cs typeface="Calibri"/>
              <a:sym typeface="Calibri"/>
            </a:rPr>
            <a:t>• Several campaigns perform between 4x–6x ROI</a:t>
          </a:r>
          <a:endParaRPr sz="1400"/>
        </a:p>
        <a:p>
          <a:pPr indent="0" lvl="0" marL="0" rtl="0" algn="l">
            <a:lnSpc>
              <a:spcPct val="115000"/>
            </a:lnSpc>
            <a:spcBef>
              <a:spcPts val="800"/>
            </a:spcBef>
            <a:spcAft>
              <a:spcPts val="0"/>
            </a:spcAft>
            <a:buClr>
              <a:srgbClr val="002060"/>
            </a:buClr>
            <a:buSzPts val="3600"/>
            <a:buFont typeface="Calibri"/>
            <a:buNone/>
          </a:pPr>
          <a:r>
            <a:rPr b="1" lang="en-US" sz="3600">
              <a:solidFill>
                <a:srgbClr val="002060"/>
              </a:solidFill>
              <a:latin typeface="Calibri"/>
              <a:ea typeface="Calibri"/>
              <a:cs typeface="Calibri"/>
              <a:sym typeface="Calibri"/>
            </a:rPr>
            <a:t>• Low ROI campaigns (&lt;2x) indicate inefficient Marketing spend</a:t>
          </a:r>
          <a:endParaRPr sz="1400"/>
        </a:p>
        <a:p>
          <a:pPr indent="0" lvl="0" marL="0" rtl="0" algn="l">
            <a:lnSpc>
              <a:spcPct val="115000"/>
            </a:lnSpc>
            <a:spcBef>
              <a:spcPts val="800"/>
            </a:spcBef>
            <a:spcAft>
              <a:spcPts val="0"/>
            </a:spcAft>
            <a:buClr>
              <a:srgbClr val="002060"/>
            </a:buClr>
            <a:buSzPts val="3600"/>
            <a:buFont typeface="Calibri"/>
            <a:buNone/>
          </a:pPr>
          <a:r>
            <a:rPr b="1" lang="en-US" sz="3600">
              <a:solidFill>
                <a:srgbClr val="002060"/>
              </a:solidFill>
              <a:latin typeface="Calibri"/>
              <a:ea typeface="Calibri"/>
              <a:cs typeface="Calibri"/>
              <a:sym typeface="Calibri"/>
            </a:rPr>
            <a:t>• Budget should be reallocated toward high ROI campaigns</a:t>
          </a:r>
          <a:endParaRPr sz="1400"/>
        </a:p>
        <a:p>
          <a:pPr indent="0" lvl="0" marL="0" rtl="0" algn="l">
            <a:spcBef>
              <a:spcPts val="800"/>
            </a:spcBef>
            <a:spcAft>
              <a:spcPts val="0"/>
            </a:spcAft>
            <a:buNone/>
          </a:pPr>
          <a:r>
            <a:t/>
          </a:r>
          <a:endParaRPr b="1" sz="1600"/>
        </a:p>
      </xdr:txBody>
    </xdr:sp>
    <xdr:clientData fLocksWithSheet="0"/>
  </xdr:oneCellAnchor>
  <xdr:oneCellAnchor>
    <xdr:from>
      <xdr:col>1</xdr:col>
      <xdr:colOff>9525</xdr:colOff>
      <xdr:row>168</xdr:row>
      <xdr:rowOff>28575</xdr:rowOff>
    </xdr:from>
    <xdr:ext cx="15687675" cy="3829050"/>
    <xdr:sp>
      <xdr:nvSpPr>
        <xdr:cNvPr id="4" name="Shape 4"/>
        <xdr:cNvSpPr/>
      </xdr:nvSpPr>
      <xdr:spPr>
        <a:xfrm>
          <a:off x="0" y="1870238"/>
          <a:ext cx="10692000" cy="3819525"/>
        </a:xfrm>
        <a:prstGeom prst="rect">
          <a:avLst/>
        </a:prstGeom>
        <a:solidFill>
          <a:srgbClr val="D5DBE5"/>
        </a:solidFill>
        <a:ln cap="flat" cmpd="sng" w="9525">
          <a:solidFill>
            <a:schemeClr val="accent5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3600">
              <a:solidFill>
                <a:srgbClr val="002060"/>
              </a:solidFill>
              <a:latin typeface="Calibri"/>
              <a:ea typeface="Calibri"/>
              <a:cs typeface="Calibri"/>
              <a:sym typeface="Calibri"/>
            </a:rPr>
            <a:t>Strategic Recommendation:</a:t>
          </a:r>
          <a:endParaRPr sz="1400"/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1" sz="3600">
            <a:solidFill>
              <a:srgbClr val="002060"/>
            </a:solidFill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3600">
              <a:solidFill>
                <a:srgbClr val="002060"/>
              </a:solidFill>
              <a:latin typeface="Calibri"/>
              <a:ea typeface="Calibri"/>
              <a:cs typeface="Calibri"/>
              <a:sym typeface="Calibri"/>
            </a:rPr>
            <a:t>• Increase budget allocation toward high ROI campaigns.</a:t>
          </a:r>
          <a:br>
            <a:rPr b="1" lang="en-US" sz="3600">
              <a:solidFill>
                <a:srgbClr val="002060"/>
              </a:solidFill>
              <a:latin typeface="Calibri"/>
              <a:ea typeface="Calibri"/>
              <a:cs typeface="Calibri"/>
              <a:sym typeface="Calibri"/>
            </a:rPr>
          </a:br>
          <a:r>
            <a:rPr b="1" lang="en-US" sz="3600">
              <a:solidFill>
                <a:srgbClr val="002060"/>
              </a:solidFill>
              <a:latin typeface="Calibri"/>
              <a:ea typeface="Calibri"/>
              <a:cs typeface="Calibri"/>
              <a:sym typeface="Calibri"/>
            </a:rPr>
            <a:t>• Optimize mid-performing campaigns through targeting improvements.</a:t>
          </a:r>
          <a:br>
            <a:rPr b="1" lang="en-US" sz="3600">
              <a:solidFill>
                <a:srgbClr val="002060"/>
              </a:solidFill>
              <a:latin typeface="Calibri"/>
              <a:ea typeface="Calibri"/>
              <a:cs typeface="Calibri"/>
              <a:sym typeface="Calibri"/>
            </a:rPr>
          </a:br>
          <a:r>
            <a:rPr b="1" lang="en-US" sz="3600">
              <a:solidFill>
                <a:srgbClr val="002060"/>
              </a:solidFill>
              <a:latin typeface="Calibri"/>
              <a:ea typeface="Calibri"/>
              <a:cs typeface="Calibri"/>
              <a:sym typeface="Calibri"/>
            </a:rPr>
            <a:t>• Reduce investment in campaigns with ROI below 2x.</a:t>
          </a:r>
          <a:br>
            <a:rPr b="1" lang="en-US" sz="3600">
              <a:solidFill>
                <a:srgbClr val="002060"/>
              </a:solidFill>
              <a:latin typeface="Calibri"/>
              <a:ea typeface="Calibri"/>
              <a:cs typeface="Calibri"/>
              <a:sym typeface="Calibri"/>
            </a:rPr>
          </a:br>
          <a:r>
            <a:rPr b="1" lang="en-US" sz="3600">
              <a:solidFill>
                <a:srgbClr val="002060"/>
              </a:solidFill>
              <a:latin typeface="Calibri"/>
              <a:ea typeface="Calibri"/>
              <a:cs typeface="Calibri"/>
              <a:sym typeface="Calibri"/>
            </a:rPr>
            <a:t>• Continuously monitor campaign performance using analytics dashboards</a:t>
          </a:r>
          <a:r>
            <a:rPr lang="en-US" sz="36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.</a:t>
          </a:r>
          <a:endParaRPr b="1" sz="3600">
            <a:solidFill>
              <a:srgbClr val="002060"/>
            </a:solidFill>
          </a:endParaRPr>
        </a:p>
      </xdr:txBody>
    </xdr:sp>
    <xdr:clientData fLocksWithSheet="0"/>
  </xdr:oneCellAnchor>
  <xdr:oneCellAnchor>
    <xdr:from>
      <xdr:col>0</xdr:col>
      <xdr:colOff>219075</xdr:colOff>
      <xdr:row>193</xdr:row>
      <xdr:rowOff>-57150</xdr:rowOff>
    </xdr:from>
    <xdr:ext cx="10639425" cy="9001125"/>
    <xdr:sp>
      <xdr:nvSpPr>
        <xdr:cNvPr id="5" name="Shape 5"/>
        <xdr:cNvSpPr/>
      </xdr:nvSpPr>
      <xdr:spPr>
        <a:xfrm>
          <a:off x="0" y="955850"/>
          <a:ext cx="10692000" cy="7839900"/>
        </a:xfrm>
        <a:prstGeom prst="rect">
          <a:avLst/>
        </a:prstGeom>
        <a:solidFill>
          <a:srgbClr val="D5DBE5"/>
        </a:solidFill>
        <a:ln cap="flat" cmpd="sng" w="9525">
          <a:solidFill>
            <a:schemeClr val="accent5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3600">
              <a:solidFill>
                <a:srgbClr val="00366B"/>
              </a:solidFill>
              <a:latin typeface="Calibri"/>
              <a:ea typeface="Calibri"/>
              <a:cs typeface="Calibri"/>
              <a:sym typeface="Calibri"/>
            </a:rPr>
            <a:t>Top Performing Campaigns:</a:t>
          </a:r>
          <a:endParaRPr sz="1400"/>
        </a:p>
        <a:p>
          <a:pPr indent="0" lvl="0" marL="0" marR="0" rtl="0" algn="l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00366B"/>
            </a:buClr>
            <a:buSzPts val="2800"/>
            <a:buFont typeface="Calibri"/>
            <a:buNone/>
          </a:pPr>
          <a:r>
            <a:rPr b="0" i="1" lang="en-US" sz="2800">
              <a:solidFill>
                <a:srgbClr val="00366B"/>
              </a:solidFill>
              <a:latin typeface="Calibri"/>
              <a:ea typeface="Calibri"/>
              <a:cs typeface="Calibri"/>
              <a:sym typeface="Calibri"/>
            </a:rPr>
            <a:t>-The dashboard also identifies the top five campaigns by ROI. These campaigns represent the most effective marketing investments and are strong candidates for increased budget allocation.</a:t>
          </a:r>
          <a:endParaRPr b="0" i="1" sz="7200">
            <a:solidFill>
              <a:srgbClr val="00366B"/>
            </a:solidFill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1" sz="3600">
            <a:solidFill>
              <a:srgbClr val="002060"/>
            </a:solidFill>
          </a:endParaRPr>
        </a:p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3600">
              <a:solidFill>
                <a:srgbClr val="00366B"/>
              </a:solidFill>
              <a:latin typeface="Calibri"/>
              <a:ea typeface="Calibri"/>
              <a:cs typeface="Calibri"/>
              <a:sym typeface="Calibri"/>
            </a:rPr>
            <a:t>• Campaign C039 generated the highest ROI (~15.9x), indicating highly efficient marketing spend.</a:t>
          </a:r>
          <a:br>
            <a:rPr b="1" lang="en-US" sz="3600">
              <a:solidFill>
                <a:srgbClr val="00366B"/>
              </a:solidFill>
              <a:latin typeface="Calibri"/>
              <a:ea typeface="Calibri"/>
              <a:cs typeface="Calibri"/>
              <a:sym typeface="Calibri"/>
            </a:rPr>
          </a:br>
          <a:r>
            <a:rPr b="1" lang="en-US" sz="3600">
              <a:solidFill>
                <a:srgbClr val="00366B"/>
              </a:solidFill>
              <a:latin typeface="Calibri"/>
              <a:ea typeface="Calibri"/>
              <a:cs typeface="Calibri"/>
              <a:sym typeface="Calibri"/>
            </a:rPr>
            <a:t>• Campaigns C037, C040, C038, and C036 also delivered strong ROI above 13x.</a:t>
          </a:r>
          <a:br>
            <a:rPr b="1" lang="en-US" sz="3600">
              <a:solidFill>
                <a:srgbClr val="00366B"/>
              </a:solidFill>
              <a:latin typeface="Calibri"/>
              <a:ea typeface="Calibri"/>
              <a:cs typeface="Calibri"/>
              <a:sym typeface="Calibri"/>
            </a:rPr>
          </a:br>
          <a:r>
            <a:rPr b="1" lang="en-US" sz="3600">
              <a:solidFill>
                <a:srgbClr val="00366B"/>
              </a:solidFill>
              <a:latin typeface="Calibri"/>
              <a:ea typeface="Calibri"/>
              <a:cs typeface="Calibri"/>
              <a:sym typeface="Calibri"/>
            </a:rPr>
            <a:t>• These campaigns represent the most profitable marketing investments.</a:t>
          </a:r>
          <a:br>
            <a:rPr b="1" lang="en-US" sz="3600">
              <a:solidFill>
                <a:srgbClr val="00366B"/>
              </a:solidFill>
              <a:latin typeface="Calibri"/>
              <a:ea typeface="Calibri"/>
              <a:cs typeface="Calibri"/>
              <a:sym typeface="Calibri"/>
            </a:rPr>
          </a:br>
          <a:r>
            <a:rPr b="1" lang="en-US" sz="3600">
              <a:solidFill>
                <a:srgbClr val="00366B"/>
              </a:solidFill>
              <a:latin typeface="Calibri"/>
              <a:ea typeface="Calibri"/>
              <a:cs typeface="Calibri"/>
              <a:sym typeface="Calibri"/>
            </a:rPr>
            <a:t>• Increasing budget allocation to these campaigns could significantly improve overall marketing performance.</a:t>
          </a:r>
          <a:br>
            <a:rPr b="1" lang="en-US" sz="3600">
              <a:solidFill>
                <a:srgbClr val="00366B"/>
              </a:solidFill>
              <a:latin typeface="Calibri"/>
              <a:ea typeface="Calibri"/>
              <a:cs typeface="Calibri"/>
              <a:sym typeface="Calibri"/>
            </a:rPr>
          </a:br>
          <a:endParaRPr b="1" sz="3600">
            <a:solidFill>
              <a:srgbClr val="00366B"/>
            </a:solidFill>
          </a:endParaRPr>
        </a:p>
      </xdr:txBody>
    </xdr:sp>
    <xdr:clientData fLocksWithSheet="0"/>
  </xdr:oneCellAnchor>
</xdr:wsDr>
</file>

<file path=xl/tables/table1.xml><?xml version="1.0" encoding="utf-8"?>
<table xmlns="http://schemas.openxmlformats.org/spreadsheetml/2006/main" totalsRowCount="1" ref="A1:D42" displayName="Table_1" name="Table_1" id="1">
  <tableColumns count="4">
    <tableColumn totalsRowFunction="custom" name="Campaign_ID" id="1"/>
    <tableColumn totalsRowFunction="custom" name="Total_Revenue" id="2"/>
    <tableColumn totalsRowFunction="custom" name="Total_Spend" id="3"/>
    <tableColumn totalsRowFunction="custom" name="ROI" id="4"/>
  </tableColumns>
  <tableStyleInfo name="Dat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0"/>
    <col customWidth="1" min="2" max="2" width="18.71"/>
    <col customWidth="1" min="3" max="3" width="13.29"/>
    <col customWidth="1" min="4" max="4" width="12.0"/>
    <col customWidth="1" min="5" max="26" width="8.71"/>
  </cols>
  <sheetData>
    <row r="1" ht="14.25" customHeight="1">
      <c r="A1" s="1" t="s">
        <v>0</v>
      </c>
      <c r="B1" s="2" t="s">
        <v>1</v>
      </c>
      <c r="C1" s="2" t="s">
        <v>2</v>
      </c>
      <c r="D1" s="3" t="s">
        <v>3</v>
      </c>
    </row>
    <row r="2" ht="14.25" customHeight="1">
      <c r="A2" s="4" t="s">
        <v>4</v>
      </c>
      <c r="B2" s="5">
        <v>1887696.41</v>
      </c>
      <c r="C2" s="5">
        <v>118499.68</v>
      </c>
      <c r="D2" s="6">
        <v>15.929970528190456</v>
      </c>
    </row>
    <row r="3" ht="14.25" customHeight="1">
      <c r="A3" s="4" t="s">
        <v>5</v>
      </c>
      <c r="B3" s="5">
        <v>1779291.46</v>
      </c>
      <c r="C3" s="5">
        <v>120033.34</v>
      </c>
      <c r="D3" s="6">
        <v>14.823310423587314</v>
      </c>
    </row>
    <row r="4" ht="14.25" customHeight="1">
      <c r="A4" s="4" t="s">
        <v>6</v>
      </c>
      <c r="B4" s="5">
        <v>1654430.57</v>
      </c>
      <c r="C4" s="5">
        <v>116237.28</v>
      </c>
      <c r="D4" s="6">
        <v>14.233218206757764</v>
      </c>
    </row>
    <row r="5" ht="14.25" customHeight="1">
      <c r="A5" s="4" t="s">
        <v>7</v>
      </c>
      <c r="B5" s="5">
        <v>1641919.24</v>
      </c>
      <c r="C5" s="5">
        <v>118940.22</v>
      </c>
      <c r="D5" s="6">
        <v>13.804575441343559</v>
      </c>
    </row>
    <row r="6" ht="14.25" customHeight="1">
      <c r="A6" s="4" t="s">
        <v>8</v>
      </c>
      <c r="B6" s="5">
        <v>1657285.89</v>
      </c>
      <c r="C6" s="5">
        <v>120862.24</v>
      </c>
      <c r="D6" s="6">
        <v>13.712189100582613</v>
      </c>
    </row>
    <row r="7" ht="14.25" customHeight="1">
      <c r="A7" s="4" t="s">
        <v>9</v>
      </c>
      <c r="B7" s="5">
        <v>1601376.17</v>
      </c>
      <c r="C7" s="5">
        <v>121742.57</v>
      </c>
      <c r="D7" s="6">
        <v>13.153789754890173</v>
      </c>
    </row>
    <row r="8" ht="14.25" customHeight="1">
      <c r="A8" s="4" t="s">
        <v>10</v>
      </c>
      <c r="B8" s="5">
        <v>1518080.31</v>
      </c>
      <c r="C8" s="5">
        <v>118998.63</v>
      </c>
      <c r="D8" s="6">
        <v>12.757124262691091</v>
      </c>
    </row>
    <row r="9" ht="14.25" customHeight="1">
      <c r="A9" s="4" t="s">
        <v>11</v>
      </c>
      <c r="B9" s="5">
        <v>1422020.34</v>
      </c>
      <c r="C9" s="5">
        <v>121459.14</v>
      </c>
      <c r="D9" s="6">
        <v>11.707808403715028</v>
      </c>
    </row>
    <row r="10" ht="14.25" customHeight="1">
      <c r="A10" s="4" t="s">
        <v>12</v>
      </c>
      <c r="B10" s="5">
        <v>2802793.25</v>
      </c>
      <c r="C10" s="5">
        <v>461551.37</v>
      </c>
      <c r="D10" s="6">
        <v>6.072548869262375</v>
      </c>
    </row>
    <row r="11" ht="14.25" customHeight="1">
      <c r="A11" s="4" t="s">
        <v>13</v>
      </c>
      <c r="B11" s="5">
        <v>2764710.24</v>
      </c>
      <c r="C11" s="5">
        <v>481375.89</v>
      </c>
      <c r="D11" s="6">
        <v>5.743350046052369</v>
      </c>
    </row>
    <row r="12" ht="14.25" customHeight="1">
      <c r="A12" s="4" t="s">
        <v>14</v>
      </c>
      <c r="B12" s="5">
        <v>2685731.91</v>
      </c>
      <c r="C12" s="5">
        <v>475531.02</v>
      </c>
      <c r="D12" s="6">
        <v>5.647858493016923</v>
      </c>
    </row>
    <row r="13" ht="14.25" customHeight="1">
      <c r="A13" s="4" t="s">
        <v>15</v>
      </c>
      <c r="B13" s="5">
        <v>2784552.19</v>
      </c>
      <c r="C13" s="5">
        <v>497402.7</v>
      </c>
      <c r="D13" s="6">
        <v>5.5981847102961035</v>
      </c>
    </row>
    <row r="14" ht="14.25" customHeight="1">
      <c r="A14" s="4" t="s">
        <v>16</v>
      </c>
      <c r="B14" s="5">
        <v>2474271.4</v>
      </c>
      <c r="C14" s="5">
        <v>463469.94</v>
      </c>
      <c r="D14" s="6">
        <v>5.338580102951229</v>
      </c>
    </row>
    <row r="15" ht="14.25" customHeight="1">
      <c r="A15" s="4" t="s">
        <v>17</v>
      </c>
      <c r="B15" s="5">
        <v>2473491.17</v>
      </c>
      <c r="C15" s="5">
        <v>480683.77999999997</v>
      </c>
      <c r="D15" s="6">
        <v>5.1457762315175275</v>
      </c>
    </row>
    <row r="16" ht="14.25" customHeight="1">
      <c r="A16" s="4" t="s">
        <v>18</v>
      </c>
      <c r="B16" s="5">
        <v>2321003.82</v>
      </c>
      <c r="C16" s="5">
        <v>474086.39</v>
      </c>
      <c r="D16" s="6">
        <v>4.895740246835603</v>
      </c>
    </row>
    <row r="17" ht="14.25" customHeight="1">
      <c r="A17" s="4" t="s">
        <v>19</v>
      </c>
      <c r="B17" s="5">
        <v>2346822.87</v>
      </c>
      <c r="C17" s="5">
        <v>492711.72000000003</v>
      </c>
      <c r="D17" s="6">
        <v>4.763074988352216</v>
      </c>
    </row>
    <row r="18" ht="14.25" customHeight="1">
      <c r="A18" s="4" t="s">
        <v>20</v>
      </c>
      <c r="B18" s="5">
        <v>1197973.26</v>
      </c>
      <c r="C18" s="5">
        <v>811426.64</v>
      </c>
      <c r="D18" s="6">
        <v>1.4763790106768</v>
      </c>
    </row>
    <row r="19" ht="14.25" customHeight="1">
      <c r="A19" s="4" t="s">
        <v>21</v>
      </c>
      <c r="B19" s="5">
        <v>1232034.56</v>
      </c>
      <c r="C19" s="5">
        <v>835225.45</v>
      </c>
      <c r="D19" s="6">
        <v>1.4750922161196118</v>
      </c>
    </row>
    <row r="20" ht="14.25" customHeight="1">
      <c r="A20" s="4" t="s">
        <v>22</v>
      </c>
      <c r="B20" s="5">
        <v>6043941.01</v>
      </c>
      <c r="C20" s="5">
        <v>4142356.51</v>
      </c>
      <c r="D20" s="6">
        <v>1.4590586289252057</v>
      </c>
    </row>
    <row r="21" ht="14.25" customHeight="1">
      <c r="A21" s="4" t="s">
        <v>23</v>
      </c>
      <c r="B21" s="5">
        <v>6246402.51</v>
      </c>
      <c r="C21" s="5">
        <v>4328266.0</v>
      </c>
      <c r="D21" s="6">
        <v>1.443165117393432</v>
      </c>
    </row>
    <row r="22" ht="14.25" customHeight="1">
      <c r="A22" s="4" t="s">
        <v>24</v>
      </c>
      <c r="B22" s="5">
        <v>6107713.26</v>
      </c>
      <c r="C22" s="5">
        <v>4285939.27</v>
      </c>
      <c r="D22" s="6">
        <v>1.4250582836653214</v>
      </c>
    </row>
    <row r="23" ht="14.25" customHeight="1">
      <c r="A23" s="4" t="s">
        <v>25</v>
      </c>
      <c r="B23" s="5">
        <v>1218185.24</v>
      </c>
      <c r="C23" s="5">
        <v>860390.1</v>
      </c>
      <c r="D23" s="6">
        <v>1.4158522279603172</v>
      </c>
    </row>
    <row r="24" ht="14.25" customHeight="1">
      <c r="A24" s="4" t="s">
        <v>26</v>
      </c>
      <c r="B24" s="5">
        <v>6022513.68</v>
      </c>
      <c r="C24" s="5">
        <v>4292174.11</v>
      </c>
      <c r="D24" s="6">
        <v>1.4031382524694458</v>
      </c>
    </row>
    <row r="25" ht="14.25" customHeight="1">
      <c r="A25" s="4" t="s">
        <v>27</v>
      </c>
      <c r="B25" s="5">
        <v>1149357.27</v>
      </c>
      <c r="C25" s="5">
        <v>832516.97</v>
      </c>
      <c r="D25" s="6">
        <v>1.3805811910356616</v>
      </c>
    </row>
    <row r="26" ht="14.25" customHeight="1">
      <c r="A26" s="4" t="s">
        <v>28</v>
      </c>
      <c r="B26" s="5">
        <v>1160834.17</v>
      </c>
      <c r="C26" s="5">
        <v>841843.02</v>
      </c>
      <c r="D26" s="6">
        <v>1.3789199915205093</v>
      </c>
    </row>
    <row r="27" ht="14.25" customHeight="1">
      <c r="A27" s="4" t="s">
        <v>29</v>
      </c>
      <c r="B27" s="5">
        <v>5942861.34</v>
      </c>
      <c r="C27" s="5">
        <v>4327050.43</v>
      </c>
      <c r="D27" s="6">
        <v>1.3734208639671437</v>
      </c>
    </row>
    <row r="28" ht="14.25" customHeight="1">
      <c r="A28" s="4" t="s">
        <v>30</v>
      </c>
      <c r="B28" s="5">
        <v>5856131.09</v>
      </c>
      <c r="C28" s="5">
        <v>4320160.64</v>
      </c>
      <c r="D28" s="6">
        <v>1.3555354946245703</v>
      </c>
    </row>
    <row r="29" ht="14.25" customHeight="1">
      <c r="A29" s="4" t="s">
        <v>31</v>
      </c>
      <c r="B29" s="5">
        <v>5735291.07</v>
      </c>
      <c r="C29" s="5">
        <v>4369244.94</v>
      </c>
      <c r="D29" s="6">
        <v>1.3126503889708687</v>
      </c>
    </row>
    <row r="30" ht="14.25" customHeight="1">
      <c r="A30" s="4" t="s">
        <v>32</v>
      </c>
      <c r="B30" s="5">
        <v>1109864.28</v>
      </c>
      <c r="C30" s="5">
        <v>847695.61</v>
      </c>
      <c r="D30" s="6">
        <v>1.3092721808480288</v>
      </c>
    </row>
    <row r="31" ht="14.25" customHeight="1">
      <c r="A31" s="4" t="s">
        <v>33</v>
      </c>
      <c r="B31" s="5">
        <v>5415880.42</v>
      </c>
      <c r="C31" s="5">
        <v>4288198.93</v>
      </c>
      <c r="D31" s="6">
        <v>1.2629732221867795</v>
      </c>
    </row>
    <row r="32" ht="14.25" customHeight="1">
      <c r="A32" s="4" t="s">
        <v>34</v>
      </c>
      <c r="B32" s="5">
        <v>1054631.53</v>
      </c>
      <c r="C32" s="5">
        <v>845808.04</v>
      </c>
      <c r="D32" s="6">
        <v>1.2468922972167538</v>
      </c>
    </row>
    <row r="33" ht="14.25" customHeight="1">
      <c r="A33" s="4" t="s">
        <v>35</v>
      </c>
      <c r="B33" s="5">
        <v>883206.31</v>
      </c>
      <c r="C33" s="5">
        <v>824089.33</v>
      </c>
      <c r="D33" s="6">
        <v>1.071736130839117</v>
      </c>
    </row>
    <row r="34" ht="14.25" customHeight="1">
      <c r="A34" s="4" t="s">
        <v>36</v>
      </c>
      <c r="B34" s="5">
        <v>2656834.56</v>
      </c>
      <c r="C34" s="5">
        <v>3529354.04</v>
      </c>
      <c r="D34" s="6">
        <v>0.7527821040022383</v>
      </c>
    </row>
    <row r="35" ht="14.25" customHeight="1">
      <c r="A35" s="4" t="s">
        <v>37</v>
      </c>
      <c r="B35" s="5">
        <v>2587609.02</v>
      </c>
      <c r="C35" s="5">
        <v>3572702.66</v>
      </c>
      <c r="D35" s="6">
        <v>0.724272145278387</v>
      </c>
    </row>
    <row r="36" ht="14.25" customHeight="1">
      <c r="A36" s="4" t="s">
        <v>38</v>
      </c>
      <c r="B36" s="5">
        <v>2509547.36</v>
      </c>
      <c r="C36" s="5">
        <v>3526893.92</v>
      </c>
      <c r="D36" s="6">
        <v>0.711546028013227</v>
      </c>
    </row>
    <row r="37" ht="14.25" customHeight="1">
      <c r="A37" s="4" t="s">
        <v>39</v>
      </c>
      <c r="B37" s="5">
        <v>2465059.22</v>
      </c>
      <c r="C37" s="5">
        <v>3552087.57</v>
      </c>
      <c r="D37" s="6">
        <v>0.6939747884650266</v>
      </c>
    </row>
    <row r="38" ht="14.25" customHeight="1">
      <c r="A38" s="4" t="s">
        <v>40</v>
      </c>
      <c r="B38" s="5">
        <v>2480513.4</v>
      </c>
      <c r="C38" s="5">
        <v>3640841.11</v>
      </c>
      <c r="D38" s="6">
        <v>0.6813022939086733</v>
      </c>
    </row>
    <row r="39" ht="14.25" customHeight="1">
      <c r="A39" s="4" t="s">
        <v>41</v>
      </c>
      <c r="B39" s="5">
        <v>2425652.09</v>
      </c>
      <c r="C39" s="5">
        <v>3606207.61</v>
      </c>
      <c r="D39" s="6">
        <v>0.672632402880432</v>
      </c>
    </row>
    <row r="40" ht="14.25" customHeight="1">
      <c r="A40" s="4" t="s">
        <v>42</v>
      </c>
      <c r="B40" s="5">
        <v>2397748.17</v>
      </c>
      <c r="C40" s="5">
        <v>3587417.03</v>
      </c>
      <c r="D40" s="6">
        <v>0.6683773171473181</v>
      </c>
    </row>
    <row r="41" ht="14.25" customHeight="1">
      <c r="A41" s="4" t="s">
        <v>43</v>
      </c>
      <c r="B41" s="5">
        <v>2407127.67</v>
      </c>
      <c r="C41" s="5">
        <v>3608215.52</v>
      </c>
      <c r="D41" s="6">
        <v>0.6671241384162108</v>
      </c>
    </row>
    <row r="42" ht="14.25" customHeight="1">
      <c r="A42" s="7" t="str">
        <f t="array" ref="A42">INDEX(Data!A:A,MATCH(MAX(Data!D:D),Data!D:D,0))</f>
        <v>C039</v>
      </c>
      <c r="B42" s="8">
        <f>SUM(Data!$B$2:$B$41)</f>
        <v>110122389.7</v>
      </c>
      <c r="C42" s="8">
        <f>SUM(Data!$C$2:$C$41)</f>
        <v>74459691.36</v>
      </c>
      <c r="D42" s="9">
        <f>AVERAGE(Data!$D$2:$D$41)</f>
        <v>4.517220913</v>
      </c>
    </row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8.71"/>
    <col customWidth="1" min="2" max="2" width="72.29"/>
    <col customWidth="1" min="3" max="3" width="71.57"/>
    <col customWidth="1" min="4" max="4" width="40.71"/>
    <col customWidth="1" min="5" max="5" width="50.71"/>
    <col customWidth="1" min="6" max="26" width="8.71"/>
  </cols>
  <sheetData>
    <row r="1" ht="14.25" customHeight="1"/>
    <row r="2" ht="193.5" customHeight="1">
      <c r="B2" s="10" t="s">
        <v>44</v>
      </c>
      <c r="C2" s="11"/>
      <c r="D2" s="11"/>
      <c r="E2" s="12"/>
    </row>
    <row r="3" ht="14.25" customHeight="1"/>
    <row r="4" ht="14.25" customHeight="1"/>
    <row r="5" ht="14.25" customHeight="1"/>
    <row r="6" ht="14.25" customHeight="1">
      <c r="B6" s="13" t="s">
        <v>45</v>
      </c>
      <c r="C6" s="13" t="s">
        <v>46</v>
      </c>
      <c r="D6" s="13" t="s">
        <v>47</v>
      </c>
      <c r="E6" s="13" t="s">
        <v>48</v>
      </c>
    </row>
    <row r="7" ht="14.25" customHeight="1">
      <c r="B7" s="14" t="s">
        <v>49</v>
      </c>
      <c r="C7" s="14" t="s">
        <v>50</v>
      </c>
      <c r="D7" s="14" t="s">
        <v>51</v>
      </c>
      <c r="E7" s="15" t="s">
        <v>4</v>
      </c>
    </row>
    <row r="8" ht="14.25" customHeight="1"/>
    <row r="9" ht="14.25" customHeight="1"/>
    <row r="10" ht="14.25" customHeight="1"/>
    <row r="11" ht="14.25" customHeight="1">
      <c r="B11" s="16" t="s">
        <v>52</v>
      </c>
      <c r="C11" s="11"/>
      <c r="D11" s="11"/>
      <c r="E11" s="12"/>
    </row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>
      <c r="B53" s="17" t="s">
        <v>53</v>
      </c>
      <c r="C53" s="11"/>
      <c r="D53" s="11"/>
      <c r="E53" s="12"/>
    </row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92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>
      <c r="B119" s="18" t="s">
        <v>54</v>
      </c>
      <c r="C119" s="11"/>
      <c r="D119" s="11"/>
      <c r="E119" s="12"/>
    </row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>
      <c r="C125" s="19" t="s">
        <v>55</v>
      </c>
      <c r="D125" s="19" t="s">
        <v>3</v>
      </c>
    </row>
    <row r="126" ht="14.25" customHeight="1">
      <c r="C126" s="20" t="s">
        <v>4</v>
      </c>
      <c r="D126" s="20">
        <v>15.92997053</v>
      </c>
    </row>
    <row r="127" ht="14.25" customHeight="1">
      <c r="C127" s="21" t="s">
        <v>5</v>
      </c>
      <c r="D127" s="21">
        <v>14.82331042</v>
      </c>
    </row>
    <row r="128" ht="14.25" customHeight="1">
      <c r="C128" s="20" t="s">
        <v>6</v>
      </c>
      <c r="D128" s="20">
        <v>14.23321821</v>
      </c>
    </row>
    <row r="129" ht="14.25" customHeight="1">
      <c r="C129" s="21" t="s">
        <v>7</v>
      </c>
      <c r="D129" s="21">
        <v>13.80457544</v>
      </c>
    </row>
    <row r="130" ht="14.25" customHeight="1">
      <c r="C130" s="20" t="s">
        <v>8</v>
      </c>
      <c r="D130" s="20">
        <v>13.7121891</v>
      </c>
    </row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4">
    <mergeCell ref="B2:E2"/>
    <mergeCell ref="B11:E11"/>
    <mergeCell ref="B53:E53"/>
    <mergeCell ref="B119:E119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2026-03-07T17:52:24Z</dcterms:created>
  <dc:creator>Jusmita Baruah</dc:creator>
</cp:coreProperties>
</file>